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Stats\"/>
    </mc:Choice>
  </mc:AlternateContent>
  <xr:revisionPtr revIDLastSave="0" documentId="13_ncr:1_{AA2397EF-3527-4859-A22E-7AEA0BB4D976}" xr6:coauthVersionLast="47" xr6:coauthVersionMax="47" xr10:uidLastSave="{00000000-0000-0000-0000-000000000000}"/>
  <bookViews>
    <workbookView xWindow="-108" yWindow="-108" windowWidth="23256" windowHeight="13896" xr2:uid="{058910DC-FF45-4023-A437-4D84E3FB91DC}"/>
  </bookViews>
  <sheets>
    <sheet name="Theory_Section" sheetId="1" r:id="rId1"/>
    <sheet name="Practical_S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2" l="1"/>
  <c r="D61" i="2"/>
  <c r="C61" i="2"/>
  <c r="B61" i="2"/>
  <c r="E60" i="2"/>
  <c r="E59" i="2"/>
  <c r="E61" i="2" l="1"/>
  <c r="B65" i="2"/>
  <c r="B71" i="2" s="1"/>
  <c r="B66" i="2"/>
  <c r="D66" i="2"/>
  <c r="C66" i="2"/>
  <c r="C72" i="2" s="1"/>
  <c r="D65" i="2"/>
  <c r="C65" i="2"/>
  <c r="C71" i="2"/>
  <c r="D72" i="2"/>
  <c r="D71" i="2"/>
  <c r="D73" i="2" s="1"/>
  <c r="B72" i="2"/>
  <c r="E66" i="2"/>
  <c r="C67" i="2"/>
  <c r="D67" i="2"/>
  <c r="B67" i="2" l="1"/>
  <c r="E65" i="2"/>
  <c r="E72" i="2"/>
  <c r="C73" i="2"/>
  <c r="E67" i="2"/>
  <c r="B73" i="2"/>
  <c r="E71" i="2"/>
  <c r="E73" i="2" s="1"/>
  <c r="G73" i="2" s="1"/>
  <c r="H73" i="2" s="1"/>
  <c r="K41" i="2"/>
  <c r="I41" i="2"/>
  <c r="J41" i="2" s="1"/>
  <c r="F12" i="2" l="1"/>
  <c r="F11" i="2"/>
</calcChain>
</file>

<file path=xl/sharedStrings.xml><?xml version="1.0" encoding="utf-8"?>
<sst xmlns="http://schemas.openxmlformats.org/spreadsheetml/2006/main" count="77" uniqueCount="57">
  <si>
    <t>Assessment</t>
  </si>
  <si>
    <t xml:space="preserve">Theory Section </t>
  </si>
  <si>
    <t>1) Covariance</t>
  </si>
  <si>
    <r>
      <t>Covariance</t>
    </r>
    <r>
      <rPr>
        <sz val="11"/>
        <color theme="1"/>
        <rFont val="Calibri"/>
        <family val="2"/>
        <scheme val="minor"/>
      </rPr>
      <t xml:space="preserve"> measures the direction of the relationship between two variables, showing whether they move together or in opposite directions, but it is affected by the scale and units of data.</t>
    </r>
  </si>
  <si>
    <t>b) Correlation</t>
  </si>
  <si>
    <r>
      <t>Correlation</t>
    </r>
    <r>
      <rPr>
        <sz val="11"/>
        <color theme="1"/>
        <rFont val="Calibri"/>
        <family val="2"/>
        <scheme val="minor"/>
      </rPr>
      <t xml:space="preserve"> standardizes covariance to measure both the strength and direction of the relationship, making it unit-free and easier to interpret.</t>
    </r>
  </si>
  <si>
    <t>2) Null Hypothesis</t>
  </si>
  <si>
    <r>
      <t>Null hypothesis (H₀)</t>
    </r>
    <r>
      <rPr>
        <sz val="11"/>
        <color theme="1"/>
        <rFont val="Calibri"/>
        <family val="2"/>
        <scheme val="minor"/>
      </rPr>
      <t xml:space="preserve"> states that there is no effect, no difference, or no relationship between variables and any observed result is due to random chance.</t>
    </r>
  </si>
  <si>
    <t>b) Alternative Hypothesis</t>
  </si>
  <si>
    <r>
      <t>Alternative hypothesis (H₁ or Hₐ)</t>
    </r>
    <r>
      <rPr>
        <sz val="11"/>
        <color theme="1"/>
        <rFont val="Calibri"/>
        <family val="2"/>
        <scheme val="minor"/>
      </rPr>
      <t xml:space="preserve"> states that there is an effect, difference, or relationship and the observed result is statistically significant.</t>
    </r>
  </si>
  <si>
    <t>3) P_Value</t>
  </si>
  <si>
    <r>
      <t>P-value</t>
    </r>
    <r>
      <rPr>
        <sz val="11"/>
        <color theme="1"/>
        <rFont val="Calibri"/>
        <family val="2"/>
        <scheme val="minor"/>
      </rPr>
      <t xml:space="preserve"> is the probability of obtaining the observed results, or more extreme results, assuming the null hypothesis is true.</t>
    </r>
  </si>
  <si>
    <t>b) Significance level</t>
  </si>
  <si>
    <r>
      <t xml:space="preserve">Significance level </t>
    </r>
    <r>
      <rPr>
        <sz val="11"/>
        <color theme="1"/>
        <rFont val="Calibri"/>
        <family val="2"/>
        <scheme val="minor"/>
      </rPr>
      <t xml:space="preserve"> is the predefined threshold (commonly 0.05) used to decide whether to reject the null hypothesis.</t>
    </r>
  </si>
  <si>
    <t>Co. A</t>
  </si>
  <si>
    <t>Co. B</t>
  </si>
  <si>
    <t xml:space="preserve">Covariance </t>
  </si>
  <si>
    <t>Correlation</t>
  </si>
  <si>
    <t xml:space="preserve">Interpretaion </t>
  </si>
  <si>
    <t>• The positive covariance indicates that Company A and Company B stock prices move in the same direction.</t>
  </si>
  <si>
    <t>• The Pearson correlation close to +1 shows a very strong positive linear relationship.</t>
  </si>
  <si>
    <t>• This implies that increases in Company A’s stock price are almost always accompanied by increases in Company B’s stock price.</t>
  </si>
  <si>
    <t>2)</t>
  </si>
  <si>
    <t>3)</t>
  </si>
  <si>
    <t>Group 1</t>
  </si>
  <si>
    <t>Group 2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</si>
  <si>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</si>
  <si>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</si>
  <si>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</si>
  <si>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</si>
  <si>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</si>
  <si>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</si>
  <si>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</si>
  <si>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</si>
  <si>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</si>
  <si>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</si>
  <si>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Conclusion</t>
  </si>
  <si>
    <t>At the 5% significance level, since the calculated Z-value (3.23) exceeds the critical Z-value (1.96) and the p-value is less than 0.05, we reject the null hypothesis.</t>
  </si>
  <si>
    <t>Z</t>
  </si>
  <si>
    <t>Critical Z</t>
  </si>
  <si>
    <t xml:space="preserve">4) </t>
  </si>
  <si>
    <t>Chocolate</t>
  </si>
  <si>
    <t>Vanilla</t>
  </si>
  <si>
    <t>Strawberry</t>
  </si>
  <si>
    <t>Male</t>
  </si>
  <si>
    <t>Female</t>
  </si>
  <si>
    <t>OI</t>
  </si>
  <si>
    <t>Total</t>
  </si>
  <si>
    <t>EI</t>
  </si>
  <si>
    <t>Chi-square</t>
  </si>
  <si>
    <t>Critical value</t>
  </si>
  <si>
    <t xml:space="preserve">Conclusion </t>
  </si>
  <si>
    <t>• At the 5% significance level, the calculated Chi-square value (4.02) is less than the critical value (5.991). Therefore, we fail to reject the null hypothesis.</t>
  </si>
  <si>
    <r>
      <t xml:space="preserve">•There is </t>
    </r>
    <r>
      <rPr>
        <b/>
        <sz val="11"/>
        <color theme="1"/>
        <rFont val="Calibri"/>
        <family val="2"/>
        <scheme val="minor"/>
      </rPr>
      <t>no significant association</t>
    </r>
    <r>
      <rPr>
        <sz val="11"/>
        <color theme="1"/>
        <rFont val="Calibri"/>
        <family val="2"/>
        <scheme val="minor"/>
      </rPr>
      <t xml:space="preserve"> between gender and ice-cream flavor preference.</t>
    </r>
  </si>
  <si>
    <r>
      <t xml:space="preserve">•Gender and flavor choice are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of each other.</t>
    </r>
  </si>
  <si>
    <t>Chi Square</t>
  </si>
  <si>
    <t>Practical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</si>
</sst>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Font="1" applyAlignment="1">
      <alignment horizontal="left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7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0108-5812-4EBF-B1FE-B2E499474BE9}">
  <dimension ref="A1:N33"/>
  <sheetViews>
    <sheetView tabSelected="1" topLeftCell="A69" workbookViewId="0">
      <selection activeCell="J15" sqref="J15"/>
    </sheetView>
  </sheetViews>
  <sheetFormatPr defaultRowHeight="14.4" x14ac:dyDescent="0.3"/>
  <cols>
    <col min="1" max="1" width="13.6640625" bestFit="1" customWidth="1"/>
  </cols>
  <sheetData>
    <row r="1" spans="1:14" x14ac:dyDescent="0.3">
      <c r="A1" s="1" t="s">
        <v>0</v>
      </c>
      <c r="B1" s="1"/>
      <c r="C1" s="1"/>
      <c r="D1" s="1"/>
      <c r="E1" s="1"/>
    </row>
    <row r="2" spans="1:14" x14ac:dyDescent="0.3">
      <c r="A2" s="1"/>
      <c r="B2" s="1"/>
      <c r="C2" s="1"/>
      <c r="D2" s="1"/>
      <c r="E2" s="1"/>
    </row>
    <row r="4" spans="1:14" ht="15.6" x14ac:dyDescent="0.3">
      <c r="A4" s="5" t="s">
        <v>1</v>
      </c>
      <c r="B4" s="5"/>
      <c r="C4" s="5"/>
    </row>
    <row r="5" spans="1:14" ht="15.6" x14ac:dyDescent="0.3">
      <c r="A5" s="6" t="s">
        <v>2</v>
      </c>
      <c r="B5" s="7"/>
      <c r="C5" s="7"/>
    </row>
    <row r="6" spans="1:14" ht="14.4" customHeight="1" x14ac:dyDescent="0.3">
      <c r="A6" s="4" t="s">
        <v>3</v>
      </c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</row>
    <row r="7" spans="1:14" ht="14.4" customHeight="1" x14ac:dyDescent="0.3">
      <c r="A7" s="4"/>
      <c r="B7" s="4"/>
      <c r="C7" s="4"/>
      <c r="D7" s="4"/>
      <c r="E7" s="4"/>
      <c r="F7" s="4"/>
      <c r="G7" s="4"/>
      <c r="H7" s="4"/>
      <c r="I7" s="8"/>
      <c r="J7" s="8"/>
      <c r="K7" s="8"/>
      <c r="L7" s="8"/>
      <c r="M7" s="8"/>
      <c r="N7" s="8"/>
    </row>
    <row r="8" spans="1:14" ht="14.4" customHeight="1" x14ac:dyDescent="0.3">
      <c r="A8" s="4"/>
      <c r="B8" s="4"/>
      <c r="C8" s="4"/>
      <c r="D8" s="4"/>
      <c r="E8" s="4"/>
      <c r="F8" s="4"/>
      <c r="G8" s="4"/>
      <c r="H8" s="4"/>
      <c r="I8" s="8"/>
      <c r="J8" s="8"/>
      <c r="K8" s="8"/>
      <c r="L8" s="8"/>
      <c r="M8" s="8"/>
      <c r="N8" s="8"/>
    </row>
    <row r="9" spans="1:14" ht="14.4" customHeight="1" x14ac:dyDescent="0.3">
      <c r="I9" s="8"/>
      <c r="J9" s="8"/>
      <c r="K9" s="8"/>
      <c r="L9" s="8"/>
      <c r="M9" s="8"/>
      <c r="N9" s="8"/>
    </row>
    <row r="10" spans="1:14" ht="14.4" customHeight="1" x14ac:dyDescent="0.3">
      <c r="A10" s="6" t="s">
        <v>4</v>
      </c>
      <c r="I10" s="8"/>
      <c r="J10" s="8"/>
      <c r="K10" s="8"/>
      <c r="L10" s="8"/>
      <c r="M10" s="8"/>
      <c r="N10" s="8"/>
    </row>
    <row r="11" spans="1:14" ht="14.4" customHeight="1" x14ac:dyDescent="0.3">
      <c r="A11" s="4" t="s">
        <v>5</v>
      </c>
      <c r="B11" s="4"/>
      <c r="C11" s="4"/>
      <c r="D11" s="4"/>
      <c r="E11" s="4"/>
      <c r="F11" s="4"/>
      <c r="G11" s="4"/>
      <c r="H11" s="4"/>
      <c r="I11" s="8"/>
      <c r="J11" s="8"/>
      <c r="K11" s="8"/>
      <c r="L11" s="8"/>
      <c r="M11" s="8"/>
      <c r="N11" s="8"/>
    </row>
    <row r="12" spans="1:14" ht="14.4" customHeight="1" x14ac:dyDescent="0.3">
      <c r="A12" s="4"/>
      <c r="B12" s="4"/>
      <c r="C12" s="4"/>
      <c r="D12" s="4"/>
      <c r="E12" s="4"/>
      <c r="F12" s="4"/>
      <c r="G12" s="4"/>
      <c r="H12" s="4"/>
      <c r="I12" s="8"/>
      <c r="J12" s="8"/>
      <c r="K12" s="8"/>
      <c r="L12" s="8"/>
      <c r="M12" s="8"/>
      <c r="N12" s="8"/>
    </row>
    <row r="13" spans="1:14" x14ac:dyDescent="0.3">
      <c r="A13" s="4"/>
      <c r="B13" s="4"/>
      <c r="C13" s="4"/>
      <c r="D13" s="4"/>
      <c r="E13" s="4"/>
      <c r="F13" s="4"/>
      <c r="G13" s="4"/>
      <c r="H13" s="4"/>
    </row>
    <row r="15" spans="1:14" ht="15.6" x14ac:dyDescent="0.3">
      <c r="A15" s="6" t="s">
        <v>6</v>
      </c>
    </row>
    <row r="16" spans="1:14" x14ac:dyDescent="0.3">
      <c r="A16" s="4" t="s">
        <v>7</v>
      </c>
      <c r="B16" s="4"/>
      <c r="C16" s="4"/>
      <c r="D16" s="4"/>
      <c r="E16" s="4"/>
      <c r="F16" s="4"/>
      <c r="G16" s="4"/>
      <c r="H16" s="4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4"/>
      <c r="B18" s="4"/>
      <c r="C18" s="4"/>
      <c r="D18" s="4"/>
      <c r="E18" s="4"/>
      <c r="F18" s="4"/>
      <c r="G18" s="4"/>
      <c r="H18" s="4"/>
    </row>
    <row r="20" spans="1:8" ht="15.6" x14ac:dyDescent="0.3">
      <c r="A20" s="6" t="s">
        <v>8</v>
      </c>
    </row>
    <row r="21" spans="1:8" x14ac:dyDescent="0.3">
      <c r="A21" s="4" t="s">
        <v>9</v>
      </c>
      <c r="B21" s="4"/>
      <c r="C21" s="4"/>
      <c r="D21" s="4"/>
      <c r="E21" s="4"/>
      <c r="F21" s="4"/>
      <c r="G21" s="4"/>
      <c r="H21" s="4"/>
    </row>
    <row r="22" spans="1:8" x14ac:dyDescent="0.3">
      <c r="A22" s="4"/>
      <c r="B22" s="4"/>
      <c r="C22" s="4"/>
      <c r="D22" s="4"/>
      <c r="E22" s="4"/>
      <c r="F22" s="4"/>
      <c r="G22" s="4"/>
      <c r="H22" s="4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5" spans="1:8" ht="15.6" x14ac:dyDescent="0.3">
      <c r="A25" s="6" t="s">
        <v>10</v>
      </c>
    </row>
    <row r="26" spans="1:8" x14ac:dyDescent="0.3">
      <c r="A26" s="4" t="s">
        <v>11</v>
      </c>
      <c r="B26" s="4"/>
      <c r="C26" s="4"/>
      <c r="D26" s="4"/>
      <c r="E26" s="4"/>
      <c r="F26" s="4"/>
      <c r="G26" s="4"/>
      <c r="H26" s="4"/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30" spans="1:8" ht="15.6" x14ac:dyDescent="0.3">
      <c r="A30" s="6" t="s">
        <v>12</v>
      </c>
    </row>
    <row r="31" spans="1:8" x14ac:dyDescent="0.3">
      <c r="A31" s="4" t="s">
        <v>13</v>
      </c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4"/>
      <c r="B33" s="4"/>
      <c r="C33" s="4"/>
      <c r="D33" s="4"/>
      <c r="E33" s="4"/>
      <c r="F33" s="4"/>
      <c r="G33" s="4"/>
      <c r="H33" s="4"/>
    </row>
  </sheetData>
  <mergeCells count="8">
    <mergeCell ref="A16:H18"/>
    <mergeCell ref="A21:H23"/>
    <mergeCell ref="A26:H28"/>
    <mergeCell ref="A31:H33"/>
    <mergeCell ref="A1:E2"/>
    <mergeCell ref="A4:C4"/>
    <mergeCell ref="A6:H8"/>
    <mergeCell ref="A11:H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DE14-1201-4884-A701-F7B4BA62B417}">
  <dimension ref="A1:L80"/>
  <sheetViews>
    <sheetView workbookViewId="0">
      <selection activeCell="I31" sqref="I31"/>
    </sheetView>
  </sheetViews>
  <sheetFormatPr defaultRowHeight="14.4" x14ac:dyDescent="0.3"/>
  <cols>
    <col min="1" max="1" width="9.88671875" bestFit="1" customWidth="1"/>
    <col min="2" max="2" width="9.33203125" bestFit="1" customWidth="1"/>
    <col min="4" max="4" width="10.21875" bestFit="1" customWidth="1"/>
    <col min="5" max="5" width="26.44140625" bestFit="1" customWidth="1"/>
    <col min="7" max="7" width="11.44140625" bestFit="1" customWidth="1"/>
    <col min="9" max="9" width="12" bestFit="1" customWidth="1"/>
  </cols>
  <sheetData>
    <row r="1" spans="1:12" x14ac:dyDescent="0.3">
      <c r="A1" s="1" t="s">
        <v>0</v>
      </c>
      <c r="B1" s="1"/>
      <c r="C1" s="1"/>
      <c r="D1" s="1"/>
      <c r="E1" s="1"/>
    </row>
    <row r="2" spans="1:12" x14ac:dyDescent="0.3">
      <c r="A2" s="1"/>
      <c r="B2" s="1"/>
      <c r="C2" s="1"/>
      <c r="D2" s="1"/>
      <c r="E2" s="1"/>
    </row>
    <row r="4" spans="1:12" x14ac:dyDescent="0.3">
      <c r="A4" s="2" t="s">
        <v>56</v>
      </c>
      <c r="B4" s="2"/>
      <c r="C4" s="2"/>
      <c r="D4" s="2"/>
    </row>
    <row r="6" spans="1:12" x14ac:dyDescent="0.3">
      <c r="A6" s="3" t="s">
        <v>22</v>
      </c>
    </row>
    <row r="8" spans="1:12" x14ac:dyDescent="0.3">
      <c r="A8" s="12" t="s">
        <v>14</v>
      </c>
      <c r="B8" s="12" t="s">
        <v>15</v>
      </c>
    </row>
    <row r="9" spans="1:12" x14ac:dyDescent="0.3">
      <c r="A9" s="13">
        <v>45</v>
      </c>
      <c r="B9" s="13">
        <v>52</v>
      </c>
    </row>
    <row r="10" spans="1:12" x14ac:dyDescent="0.3">
      <c r="A10" s="13">
        <v>47</v>
      </c>
      <c r="B10" s="13">
        <v>54</v>
      </c>
    </row>
    <row r="11" spans="1:12" x14ac:dyDescent="0.3">
      <c r="A11" s="13">
        <v>48</v>
      </c>
      <c r="B11" s="13">
        <v>55</v>
      </c>
      <c r="E11" s="3" t="s">
        <v>16</v>
      </c>
      <c r="F11">
        <f>_xlfn.COVARIANCE.S($A$9:$A$28,$B$9:$B$28)</f>
        <v>97.526315789473685</v>
      </c>
    </row>
    <row r="12" spans="1:12" x14ac:dyDescent="0.3">
      <c r="A12" s="13">
        <v>50</v>
      </c>
      <c r="B12" s="13">
        <v>57</v>
      </c>
      <c r="E12" s="3" t="s">
        <v>17</v>
      </c>
      <c r="F12">
        <f>CORREL($A$9:$A$28,$B$9:$B$28)</f>
        <v>0.99859572699637911</v>
      </c>
    </row>
    <row r="13" spans="1:12" x14ac:dyDescent="0.3">
      <c r="A13" s="13">
        <v>52</v>
      </c>
      <c r="B13" s="13">
        <v>59</v>
      </c>
    </row>
    <row r="14" spans="1:12" x14ac:dyDescent="0.3">
      <c r="A14" s="13">
        <v>53</v>
      </c>
      <c r="B14" s="13">
        <v>60</v>
      </c>
      <c r="E14" s="3" t="s">
        <v>18</v>
      </c>
    </row>
    <row r="15" spans="1:12" ht="14.4" customHeight="1" x14ac:dyDescent="0.3">
      <c r="A15" s="13">
        <v>55</v>
      </c>
      <c r="B15" s="13">
        <v>61</v>
      </c>
      <c r="E15" s="9" t="s">
        <v>19</v>
      </c>
      <c r="F15" s="9"/>
      <c r="G15" s="9"/>
      <c r="H15" s="9"/>
      <c r="I15" s="9"/>
      <c r="J15" s="9"/>
      <c r="K15" s="9"/>
      <c r="L15" s="9"/>
    </row>
    <row r="16" spans="1:12" x14ac:dyDescent="0.3">
      <c r="A16" s="13">
        <v>56</v>
      </c>
      <c r="B16" s="13">
        <v>62</v>
      </c>
      <c r="E16" s="9"/>
      <c r="F16" s="9"/>
      <c r="G16" s="9"/>
      <c r="H16" s="9"/>
      <c r="I16" s="9"/>
      <c r="J16" s="9"/>
      <c r="K16" s="9"/>
      <c r="L16" s="9"/>
    </row>
    <row r="17" spans="1:12" x14ac:dyDescent="0.3">
      <c r="A17" s="13">
        <v>58</v>
      </c>
      <c r="B17" s="13">
        <v>64</v>
      </c>
      <c r="E17" s="10" t="s">
        <v>20</v>
      </c>
      <c r="F17" s="10"/>
      <c r="G17" s="10"/>
      <c r="H17" s="10"/>
      <c r="I17" s="10"/>
      <c r="J17" s="10"/>
      <c r="K17" s="10"/>
      <c r="L17" s="10"/>
    </row>
    <row r="18" spans="1:12" ht="14.4" customHeight="1" x14ac:dyDescent="0.3">
      <c r="A18" s="13">
        <v>60</v>
      </c>
      <c r="B18" s="13">
        <v>66</v>
      </c>
      <c r="E18" s="23" t="s">
        <v>21</v>
      </c>
      <c r="F18" s="23"/>
      <c r="G18" s="23"/>
      <c r="H18" s="23"/>
      <c r="I18" s="23"/>
      <c r="J18" s="23"/>
      <c r="K18" s="23"/>
      <c r="L18" s="23"/>
    </row>
    <row r="19" spans="1:12" x14ac:dyDescent="0.3">
      <c r="A19" s="13">
        <v>62</v>
      </c>
      <c r="B19" s="13">
        <v>67</v>
      </c>
      <c r="E19" s="23"/>
      <c r="F19" s="23"/>
      <c r="G19" s="23"/>
      <c r="H19" s="23"/>
      <c r="I19" s="23"/>
      <c r="J19" s="23"/>
      <c r="K19" s="23"/>
      <c r="L19" s="23"/>
    </row>
    <row r="20" spans="1:12" x14ac:dyDescent="0.3">
      <c r="A20" s="13">
        <v>64</v>
      </c>
      <c r="B20" s="13">
        <v>69</v>
      </c>
    </row>
    <row r="21" spans="1:12" x14ac:dyDescent="0.3">
      <c r="A21" s="13">
        <v>65</v>
      </c>
      <c r="B21" s="13">
        <v>71</v>
      </c>
    </row>
    <row r="22" spans="1:12" x14ac:dyDescent="0.3">
      <c r="A22" s="13">
        <v>67</v>
      </c>
      <c r="B22" s="13">
        <v>73</v>
      </c>
    </row>
    <row r="23" spans="1:12" x14ac:dyDescent="0.3">
      <c r="A23" s="13">
        <v>69</v>
      </c>
      <c r="B23" s="13">
        <v>74</v>
      </c>
    </row>
    <row r="24" spans="1:12" x14ac:dyDescent="0.3">
      <c r="A24" s="13">
        <v>70</v>
      </c>
      <c r="B24" s="13">
        <v>76</v>
      </c>
    </row>
    <row r="25" spans="1:12" x14ac:dyDescent="0.3">
      <c r="A25" s="13">
        <v>72</v>
      </c>
      <c r="B25" s="13">
        <v>78</v>
      </c>
    </row>
    <row r="26" spans="1:12" x14ac:dyDescent="0.3">
      <c r="A26" s="13">
        <v>74</v>
      </c>
      <c r="B26" s="13">
        <v>80</v>
      </c>
    </row>
    <row r="27" spans="1:12" x14ac:dyDescent="0.3">
      <c r="A27" s="13">
        <v>76</v>
      </c>
      <c r="B27" s="13">
        <v>82</v>
      </c>
    </row>
    <row r="28" spans="1:12" x14ac:dyDescent="0.3">
      <c r="A28" s="13">
        <v>77</v>
      </c>
      <c r="B28" s="13">
        <v>83</v>
      </c>
    </row>
    <row r="31" spans="1:12" x14ac:dyDescent="0.3">
      <c r="A31" s="3" t="s">
        <v>23</v>
      </c>
    </row>
    <row r="32" spans="1:12" x14ac:dyDescent="0.3">
      <c r="A32" s="3"/>
    </row>
    <row r="33" spans="1:11" x14ac:dyDescent="0.3">
      <c r="A33" s="12" t="s">
        <v>24</v>
      </c>
      <c r="B33" s="12" t="s">
        <v>25</v>
      </c>
      <c r="E33" t="s">
        <v>26</v>
      </c>
    </row>
    <row r="34" spans="1:11" ht="15" thickBot="1" x14ac:dyDescent="0.35">
      <c r="A34" s="13">
        <v>85</v>
      </c>
      <c r="B34" s="13">
        <v>78</v>
      </c>
    </row>
    <row r="35" spans="1:11" x14ac:dyDescent="0.3">
      <c r="A35" s="13">
        <v>88</v>
      </c>
      <c r="B35" s="13">
        <v>80</v>
      </c>
      <c r="E35" s="16"/>
      <c r="F35" s="16" t="s">
        <v>24</v>
      </c>
      <c r="G35" s="16" t="s">
        <v>25</v>
      </c>
    </row>
    <row r="36" spans="1:11" x14ac:dyDescent="0.3">
      <c r="A36" s="13">
        <v>92</v>
      </c>
      <c r="B36" s="13">
        <v>75</v>
      </c>
      <c r="E36" s="14" t="s">
        <v>27</v>
      </c>
      <c r="F36" s="14">
        <v>88.4</v>
      </c>
      <c r="G36" s="14">
        <v>78.2</v>
      </c>
    </row>
    <row r="37" spans="1:11" x14ac:dyDescent="0.3">
      <c r="A37" s="13">
        <v>87</v>
      </c>
      <c r="B37" s="13">
        <v>82</v>
      </c>
      <c r="E37" s="14" t="s">
        <v>28</v>
      </c>
      <c r="F37" s="14">
        <v>25</v>
      </c>
      <c r="G37" s="14">
        <v>25</v>
      </c>
    </row>
    <row r="38" spans="1:11" x14ac:dyDescent="0.3">
      <c r="A38" s="13">
        <v>90</v>
      </c>
      <c r="B38" s="13">
        <v>76</v>
      </c>
      <c r="E38" s="14" t="s">
        <v>29</v>
      </c>
      <c r="F38" s="14">
        <v>5</v>
      </c>
      <c r="G38" s="14">
        <v>5</v>
      </c>
    </row>
    <row r="39" spans="1:11" x14ac:dyDescent="0.3">
      <c r="E39" s="14" t="s">
        <v>30</v>
      </c>
      <c r="F39" s="14">
        <v>0</v>
      </c>
      <c r="G39" s="14"/>
    </row>
    <row r="40" spans="1:11" x14ac:dyDescent="0.3">
      <c r="E40" s="14" t="s">
        <v>31</v>
      </c>
      <c r="F40" s="14">
        <v>3.2255232133717477</v>
      </c>
      <c r="G40" s="14"/>
      <c r="I40" s="12" t="s">
        <v>38</v>
      </c>
      <c r="J40" s="12"/>
      <c r="K40" s="12" t="s">
        <v>39</v>
      </c>
    </row>
    <row r="41" spans="1:11" x14ac:dyDescent="0.3">
      <c r="E41" s="14" t="s">
        <v>32</v>
      </c>
      <c r="F41" s="14">
        <v>6.2871319129831349E-4</v>
      </c>
      <c r="G41" s="14"/>
      <c r="I41" s="17">
        <f>F40</f>
        <v>3.2255232133717477</v>
      </c>
      <c r="J41" s="18" t="str">
        <f>IF(I41&gt;K41,"&gt;","&lt;")</f>
        <v>&gt;</v>
      </c>
      <c r="K41" s="17">
        <f>F44</f>
        <v>1.9599639845400536</v>
      </c>
    </row>
    <row r="42" spans="1:11" x14ac:dyDescent="0.3">
      <c r="E42" s="14" t="s">
        <v>33</v>
      </c>
      <c r="F42" s="14">
        <v>1.6448536269514715</v>
      </c>
      <c r="G42" s="14"/>
    </row>
    <row r="43" spans="1:11" x14ac:dyDescent="0.3">
      <c r="E43" s="14" t="s">
        <v>34</v>
      </c>
      <c r="F43" s="14">
        <v>1.257426382596627E-3</v>
      </c>
      <c r="G43" s="14"/>
    </row>
    <row r="44" spans="1:11" ht="15" thickBot="1" x14ac:dyDescent="0.35">
      <c r="E44" s="15" t="s">
        <v>35</v>
      </c>
      <c r="F44" s="15">
        <v>1.9599639845400536</v>
      </c>
      <c r="G44" s="15"/>
    </row>
    <row r="46" spans="1:11" x14ac:dyDescent="0.3">
      <c r="A46" s="3" t="s">
        <v>36</v>
      </c>
    </row>
    <row r="47" spans="1:11" ht="14.4" customHeight="1" x14ac:dyDescent="0.3">
      <c r="A47" s="11" t="s">
        <v>37</v>
      </c>
      <c r="B47" s="11"/>
      <c r="C47" s="11"/>
      <c r="D47" s="11"/>
      <c r="E47" s="11"/>
      <c r="F47" s="11"/>
      <c r="G47" s="11"/>
    </row>
    <row r="48" spans="1:11" x14ac:dyDescent="0.3">
      <c r="A48" s="11"/>
      <c r="B48" s="11"/>
      <c r="C48" s="11"/>
      <c r="D48" s="11"/>
      <c r="E48" s="11"/>
      <c r="F48" s="11"/>
      <c r="G48" s="11"/>
    </row>
    <row r="52" spans="1:5" x14ac:dyDescent="0.3">
      <c r="A52" s="3" t="s">
        <v>40</v>
      </c>
    </row>
    <row r="53" spans="1:5" x14ac:dyDescent="0.3">
      <c r="A53" s="13"/>
      <c r="B53" s="12" t="s">
        <v>41</v>
      </c>
      <c r="C53" s="12" t="s">
        <v>42</v>
      </c>
      <c r="D53" s="12" t="s">
        <v>43</v>
      </c>
    </row>
    <row r="54" spans="1:5" x14ac:dyDescent="0.3">
      <c r="A54" s="12" t="s">
        <v>44</v>
      </c>
      <c r="B54" s="13">
        <v>20</v>
      </c>
      <c r="C54" s="13">
        <v>15</v>
      </c>
      <c r="D54" s="13">
        <v>10</v>
      </c>
    </row>
    <row r="55" spans="1:5" x14ac:dyDescent="0.3">
      <c r="A55" s="12" t="s">
        <v>45</v>
      </c>
      <c r="B55" s="13">
        <v>25</v>
      </c>
      <c r="C55" s="13">
        <v>20</v>
      </c>
      <c r="D55" s="13">
        <v>30</v>
      </c>
    </row>
    <row r="57" spans="1:5" x14ac:dyDescent="0.3">
      <c r="A57" s="19" t="s">
        <v>46</v>
      </c>
      <c r="B57" s="19"/>
    </row>
    <row r="58" spans="1:5" x14ac:dyDescent="0.3">
      <c r="A58" s="13"/>
      <c r="B58" s="12" t="s">
        <v>41</v>
      </c>
      <c r="C58" s="12" t="s">
        <v>42</v>
      </c>
      <c r="D58" s="12" t="s">
        <v>43</v>
      </c>
      <c r="E58" s="20" t="s">
        <v>47</v>
      </c>
    </row>
    <row r="59" spans="1:5" x14ac:dyDescent="0.3">
      <c r="A59" s="12" t="s">
        <v>44</v>
      </c>
      <c r="B59" s="13">
        <v>20</v>
      </c>
      <c r="C59" s="13">
        <v>15</v>
      </c>
      <c r="D59" s="13">
        <v>10</v>
      </c>
      <c r="E59" s="13">
        <f>SUM(B59:D59)</f>
        <v>45</v>
      </c>
    </row>
    <row r="60" spans="1:5" x14ac:dyDescent="0.3">
      <c r="A60" s="12" t="s">
        <v>45</v>
      </c>
      <c r="B60" s="13">
        <v>25</v>
      </c>
      <c r="C60" s="13">
        <v>20</v>
      </c>
      <c r="D60" s="13">
        <v>30</v>
      </c>
      <c r="E60" s="13">
        <f>SUM(B60:D60)</f>
        <v>75</v>
      </c>
    </row>
    <row r="61" spans="1:5" x14ac:dyDescent="0.3">
      <c r="A61" s="21"/>
      <c r="B61" s="13">
        <f>SUM(B59:B60)</f>
        <v>45</v>
      </c>
      <c r="C61" s="13">
        <f t="shared" ref="C61:D61" si="0">SUM(C59:C60)</f>
        <v>35</v>
      </c>
      <c r="D61" s="13">
        <f t="shared" si="0"/>
        <v>40</v>
      </c>
      <c r="E61" s="13">
        <f>SUM(E59:E60)</f>
        <v>120</v>
      </c>
    </row>
    <row r="63" spans="1:5" x14ac:dyDescent="0.3">
      <c r="A63" t="s">
        <v>48</v>
      </c>
    </row>
    <row r="64" spans="1:5" x14ac:dyDescent="0.3">
      <c r="A64" s="20"/>
      <c r="B64" s="12" t="s">
        <v>41</v>
      </c>
      <c r="C64" s="12" t="s">
        <v>42</v>
      </c>
      <c r="D64" s="12" t="s">
        <v>43</v>
      </c>
      <c r="E64" s="20" t="s">
        <v>47</v>
      </c>
    </row>
    <row r="65" spans="1:9" x14ac:dyDescent="0.3">
      <c r="A65" s="22" t="s">
        <v>44</v>
      </c>
      <c r="B65" s="22">
        <f>($E59*B$61)/$E$61</f>
        <v>16.875</v>
      </c>
      <c r="C65" s="22">
        <f t="shared" ref="C65:D65" si="1">($E59*C$61)/$E$61</f>
        <v>13.125</v>
      </c>
      <c r="D65" s="22">
        <f t="shared" si="1"/>
        <v>15</v>
      </c>
      <c r="E65" s="13">
        <f>SUM(B65:D65)</f>
        <v>45</v>
      </c>
    </row>
    <row r="66" spans="1:9" x14ac:dyDescent="0.3">
      <c r="A66" s="22" t="s">
        <v>45</v>
      </c>
      <c r="B66" s="22">
        <f>($E60*B$61)/$E$61</f>
        <v>28.125</v>
      </c>
      <c r="C66" s="22">
        <f t="shared" ref="C66:D66" si="2">($E60*C$61)/$E$61</f>
        <v>21.875</v>
      </c>
      <c r="D66" s="22">
        <f t="shared" si="2"/>
        <v>25</v>
      </c>
      <c r="E66" s="13">
        <f>SUM(B66:D66)</f>
        <v>75</v>
      </c>
    </row>
    <row r="67" spans="1:9" x14ac:dyDescent="0.3">
      <c r="A67" s="13"/>
      <c r="B67" s="13">
        <f>SUM(B65:B66)</f>
        <v>45</v>
      </c>
      <c r="C67" s="13">
        <f>SUM(C65:C66)</f>
        <v>35</v>
      </c>
      <c r="D67" s="13">
        <f>SUM(D65:D66)</f>
        <v>40</v>
      </c>
      <c r="E67" s="13">
        <f>SUM(E65:E66)</f>
        <v>120</v>
      </c>
    </row>
    <row r="69" spans="1:9" x14ac:dyDescent="0.3">
      <c r="A69" t="s">
        <v>49</v>
      </c>
    </row>
    <row r="70" spans="1:9" x14ac:dyDescent="0.3">
      <c r="A70" s="20"/>
      <c r="B70" s="12" t="s">
        <v>41</v>
      </c>
      <c r="C70" s="12" t="s">
        <v>42</v>
      </c>
      <c r="D70" s="12" t="s">
        <v>43</v>
      </c>
      <c r="E70" s="20" t="s">
        <v>47</v>
      </c>
    </row>
    <row r="71" spans="1:9" x14ac:dyDescent="0.3">
      <c r="A71" s="22" t="s">
        <v>44</v>
      </c>
      <c r="B71" s="22">
        <f>(B59-B65)^2/B65</f>
        <v>0.57870370370370372</v>
      </c>
      <c r="C71" s="22">
        <f t="shared" ref="C71:D72" si="3">(C59-C65)^2/C65</f>
        <v>0.26785714285714285</v>
      </c>
      <c r="D71" s="22">
        <f t="shared" si="3"/>
        <v>1.6666666666666667</v>
      </c>
      <c r="E71" s="13">
        <f>SUM(B71:D71)</f>
        <v>2.5132275132275135</v>
      </c>
    </row>
    <row r="72" spans="1:9" x14ac:dyDescent="0.3">
      <c r="A72" s="22" t="s">
        <v>45</v>
      </c>
      <c r="B72" s="22">
        <f>(B60-B66)^2/B66</f>
        <v>0.34722222222222221</v>
      </c>
      <c r="C72" s="22">
        <f t="shared" si="3"/>
        <v>0.16071428571428573</v>
      </c>
      <c r="D72" s="22">
        <f t="shared" si="3"/>
        <v>1</v>
      </c>
      <c r="E72" s="13">
        <f>SUM(B72:D72)</f>
        <v>1.5079365079365079</v>
      </c>
      <c r="G72" s="12" t="s">
        <v>55</v>
      </c>
      <c r="H72" s="13"/>
      <c r="I72" s="12" t="s">
        <v>50</v>
      </c>
    </row>
    <row r="73" spans="1:9" x14ac:dyDescent="0.3">
      <c r="A73" s="13"/>
      <c r="B73" s="13">
        <f>SUM(B71:B72)</f>
        <v>0.92592592592592593</v>
      </c>
      <c r="C73" s="13">
        <f>SUM(C71:C72)</f>
        <v>0.4285714285714286</v>
      </c>
      <c r="D73" s="13">
        <f>SUM(D71:D72)</f>
        <v>2.666666666666667</v>
      </c>
      <c r="E73" s="13">
        <f>SUM(E71:E72)</f>
        <v>4.0211640211640214</v>
      </c>
      <c r="G73" s="17">
        <f>E73</f>
        <v>4.0211640211640214</v>
      </c>
      <c r="H73" s="18" t="str">
        <f>IF(G73&gt;I73,"&gt;","&lt;")</f>
        <v>&lt;</v>
      </c>
      <c r="I73" s="25">
        <f>_xlfn.CHISQ.INV.RT(0.05,2)</f>
        <v>5.9914645471079817</v>
      </c>
    </row>
    <row r="75" spans="1:9" x14ac:dyDescent="0.3">
      <c r="A75" s="3" t="s">
        <v>51</v>
      </c>
    </row>
    <row r="76" spans="1:9" x14ac:dyDescent="0.3">
      <c r="A76" s="11" t="s">
        <v>52</v>
      </c>
      <c r="B76" s="11"/>
      <c r="C76" s="11"/>
      <c r="D76" s="11"/>
      <c r="E76" s="11"/>
    </row>
    <row r="77" spans="1:9" x14ac:dyDescent="0.3">
      <c r="A77" s="11"/>
      <c r="B77" s="11"/>
      <c r="C77" s="11"/>
      <c r="D77" s="11"/>
      <c r="E77" s="11"/>
    </row>
    <row r="78" spans="1:9" x14ac:dyDescent="0.3">
      <c r="A78" s="23" t="s">
        <v>53</v>
      </c>
      <c r="B78" s="23"/>
      <c r="C78" s="23"/>
      <c r="D78" s="23"/>
      <c r="E78" s="23"/>
    </row>
    <row r="79" spans="1:9" x14ac:dyDescent="0.3">
      <c r="A79" s="23"/>
      <c r="B79" s="23"/>
      <c r="C79" s="23"/>
      <c r="D79" s="23"/>
      <c r="E79" s="23"/>
    </row>
    <row r="80" spans="1:9" x14ac:dyDescent="0.3">
      <c r="A80" s="24" t="s">
        <v>54</v>
      </c>
      <c r="B80" s="24"/>
      <c r="C80" s="24"/>
      <c r="D80" s="24"/>
      <c r="E80" s="24"/>
    </row>
  </sheetData>
  <mergeCells count="9">
    <mergeCell ref="A47:G48"/>
    <mergeCell ref="A76:E77"/>
    <mergeCell ref="A78:E79"/>
    <mergeCell ref="A80:E80"/>
    <mergeCell ref="A1:E2"/>
    <mergeCell ref="E15:L16"/>
    <mergeCell ref="E17:L17"/>
    <mergeCell ref="E18:L19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Theory_Section</vt:lpstr>
      <vt:lpstr>Practical_Section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Dhabuwala</dc:creator>
  <cp:lastModifiedBy>Manav Dhabuwala</cp:lastModifiedBy>
  <cp:lastPrinted>2025-12-24T06:08:58Z</cp:lastPrinted>
  <dcterms:created xsi:type="dcterms:W3CDTF">2025-12-24T04:53:49Z</dcterms:created>
  <dcterms:modified xsi:type="dcterms:W3CDTF">2025-12-24T06:12:20Z</dcterms:modified>
</cp:coreProperties>
</file>